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Costos de Recursos Humanos (po" sheetId="1" r:id="rId4"/>
    <sheet state="visible" name="Costos Tecnicos Y de Infraestru" sheetId="2" r:id="rId5"/>
    <sheet state="visible" name="Costo de Desarrollo" sheetId="3" r:id="rId6"/>
    <sheet state="visible" name="Costos de Soporte y Mantenimien" sheetId="4" r:id="rId7"/>
    <sheet state="visible" name="Bibliografias Recursos Humanos " sheetId="5" r:id="rId8"/>
    <sheet state="visible" name="Total estimado" sheetId="6" r:id="rId9"/>
    <sheet state="visible" name="Costo Arrendamiento " sheetId="7" r:id="rId10"/>
  </sheets>
  <definedNames/>
  <calcPr/>
  <extLst>
    <ext uri="GoogleSheetsCustomDataVersion2">
      <go:sheetsCustomData xmlns:go="http://customooxmlschemas.google.com/" r:id="rId11" roundtripDataChecksum="T+rA776QZ09xeI1615d9+XzBsl9OJP7XWXQCl1pP0/0="/>
    </ext>
  </extLst>
</workbook>
</file>

<file path=xl/sharedStrings.xml><?xml version="1.0" encoding="utf-8"?>
<sst xmlns="http://schemas.openxmlformats.org/spreadsheetml/2006/main" count="99" uniqueCount="81">
  <si>
    <t>Costos de Recursos Humanos</t>
  </si>
  <si>
    <t>RECURSO</t>
  </si>
  <si>
    <t xml:space="preserve">SALARIO MENSUAL ESTIMADO (COP) </t>
  </si>
  <si>
    <t>Salario diario aprox. (COP)</t>
  </si>
  <si>
    <t>Salario por hora (COP)</t>
  </si>
  <si>
    <t>Programador Back-End</t>
  </si>
  <si>
    <t>Técnico de soporte TI</t>
  </si>
  <si>
    <t>UX/UI Designer</t>
  </si>
  <si>
    <t>Administrador de sistema</t>
  </si>
  <si>
    <t>Recepcionista (simulado o real)</t>
  </si>
  <si>
    <t>Personal de pruebas (clientes simulados)</t>
  </si>
  <si>
    <t>Pago total =</t>
  </si>
  <si>
    <t>2. Costos Técnicos y de Infraestructura (anuales o únicos)</t>
  </si>
  <si>
    <t>webempresa</t>
  </si>
  <si>
    <t>Recurso</t>
  </si>
  <si>
    <t>Costo estimado</t>
  </si>
  <si>
    <t>1 web</t>
  </si>
  <si>
    <t>2 bases de datos</t>
  </si>
  <si>
    <t>10 GB de almacenamiento NVMe SSD</t>
  </si>
  <si>
    <t>10 cuentas de correo</t>
  </si>
  <si>
    <t>Creador de sitios web</t>
  </si>
  <si>
    <t>Total</t>
  </si>
  <si>
    <t>3. Costos de Desarrollo</t>
  </si>
  <si>
    <t>Actividad</t>
  </si>
  <si>
    <t>Estimación en días</t>
  </si>
  <si>
    <t>costo por dia</t>
  </si>
  <si>
    <t>costo por hora</t>
  </si>
  <si>
    <t>Diseño y mockups (UX/UI)</t>
  </si>
  <si>
    <t>7 dias</t>
  </si>
  <si>
    <t>Desarrollo Frontend</t>
  </si>
  <si>
    <t>Desarrollo Backend</t>
  </si>
  <si>
    <t>Base de datos</t>
  </si>
  <si>
    <t>3 dias</t>
  </si>
  <si>
    <t>Seguridad y autenticación</t>
  </si>
  <si>
    <t>Suma total</t>
  </si>
  <si>
    <t>4. Costos de Soporte y Mantenimiento (6 meses)</t>
  </si>
  <si>
    <t>Costo mensual estimado</t>
  </si>
  <si>
    <t>Total 6 meses</t>
  </si>
  <si>
    <t>Soporte técnico</t>
  </si>
  <si>
    <t>Actualizaciones</t>
  </si>
  <si>
    <t>Monitoreo del sistema</t>
  </si>
  <si>
    <t>1. Costos de Recursos Humanos (por día)</t>
  </si>
  <si>
    <t>Recursos de internet</t>
  </si>
  <si>
    <t xml:space="preserve"> Referencias (justificacion de costos)</t>
  </si>
  <si>
    <t>Programador Front-End</t>
  </si>
  <si>
    <t>https://co.indeed.com/career/programador-front-end/salaries</t>
  </si>
  <si>
    <t>https://co.indeed.com/career/desarrollador-back%20end/salaries</t>
  </si>
  <si>
    <t>https://co.indeed.com/career/técnico-soporte-ti/salaries</t>
  </si>
  <si>
    <t>https://www.coderhouse.com/co/sueldos/sueldo-disenador-ux-ui-colombia-2025</t>
  </si>
  <si>
    <t>Administrador del sistema</t>
  </si>
  <si>
    <t>https://co.indeed.com/career/administrador-de-sistemas/salaries</t>
  </si>
  <si>
    <t>https://co.indeed.com/career/recepcionista/salaries</t>
  </si>
  <si>
    <t>https://co.indeed.com/cmp/Call-Center-Grupo-SAS/salaries/Analista-de-pruebas</t>
  </si>
  <si>
    <t xml:space="preserve">Computadores </t>
  </si>
  <si>
    <t>https://www.ktronix.com/search?text=computadores</t>
  </si>
  <si>
    <t>Categoría</t>
  </si>
  <si>
    <t>Cantidad</t>
  </si>
  <si>
    <t>Costo Unitario Mensual (COP)</t>
  </si>
  <si>
    <t xml:space="preserve">Duración un año </t>
  </si>
  <si>
    <t>Costo Total (COP)</t>
  </si>
  <si>
    <t>Recursos Humanos</t>
  </si>
  <si>
    <t>Project Manager / Scrum Master</t>
  </si>
  <si>
    <t>QA / Tester</t>
  </si>
  <si>
    <t>Tecnología</t>
  </si>
  <si>
    <t>Licencias de software (VS, etc)</t>
  </si>
  <si>
    <t>Servidor en la nube (Wordpress)</t>
  </si>
  <si>
    <t>Dominio web</t>
  </si>
  <si>
    <t>Infraestructura</t>
  </si>
  <si>
    <t>Computadores</t>
  </si>
  <si>
    <t>Internet</t>
  </si>
  <si>
    <t>Energía eléctrica</t>
  </si>
  <si>
    <t>Otros</t>
  </si>
  <si>
    <t>Imprevistos (5%)</t>
  </si>
  <si>
    <t>-</t>
  </si>
  <si>
    <t>Mantenimiento post-despliegue</t>
  </si>
  <si>
    <t>Total Estimado del Proyecto:</t>
  </si>
  <si>
    <t xml:space="preserve">Costo de desarrollo </t>
  </si>
  <si>
    <t>Inversión</t>
  </si>
  <si>
    <t xml:space="preserve">Meses de arendamiento </t>
  </si>
  <si>
    <t>Costo mensual</t>
  </si>
  <si>
    <t xml:space="preserve">Costo Anual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</si>
</sst>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\ #,##0;[Red]\-&quot;$&quot;\ #,##0"/>
    <numFmt numFmtId="165" formatCode="&quot;$&quot;\ #,##0.00;[Red]\-&quot;$&quot;\ #,##0.00"/>
    <numFmt numFmtId="166" formatCode="&quot;$&quot;#,##0"/>
    <numFmt numFmtId="167" formatCode="&quot;$&quot;#,##0.000"/>
  </numFmts>
  <fonts count="17">
    <font>
      <sz val="11.0"/>
      <color theme="1"/>
      <name val="Calibri"/>
      <scheme val="minor"/>
    </font>
    <font>
      <b/>
      <sz val="11.0"/>
      <color theme="1"/>
      <name val="Arial"/>
    </font>
    <font/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  <font>
      <sz val="12.0"/>
      <color rgb="FF424242"/>
      <name val="Arial"/>
    </font>
    <font>
      <b/>
      <sz val="11.0"/>
      <color theme="1"/>
      <name val="Calibri"/>
    </font>
    <font>
      <sz val="11.0"/>
      <color theme="1"/>
      <name val="HYWenHei 85W"/>
    </font>
    <font>
      <sz val="11.0"/>
      <color rgb="FF000000"/>
      <name val="Calibri"/>
    </font>
    <font>
      <u/>
      <sz val="11.0"/>
      <color rgb="FF0000FF"/>
      <name val="Arial"/>
    </font>
    <font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HYWenHei 85W"/>
    </font>
    <font>
      <b/>
      <sz val="11.0"/>
      <color theme="1"/>
      <name val="HYWenHei 85W"/>
    </font>
    <font>
      <u/>
      <sz val="11.0"/>
      <color theme="10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63D297"/>
        <bgColor rgb="FF63D29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4" numFmtId="164" xfId="0" applyAlignment="1" applyBorder="1" applyFont="1" applyNumberFormat="1">
      <alignment horizontal="center" readingOrder="0"/>
    </xf>
    <xf borderId="4" fillId="0" fontId="3" numFmtId="164" xfId="0" applyAlignment="1" applyBorder="1" applyFont="1" applyNumberFormat="1">
      <alignment horizontal="center"/>
    </xf>
    <xf borderId="4" fillId="0" fontId="3" numFmtId="0" xfId="0" applyBorder="1" applyFont="1"/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2" fontId="3" numFmtId="0" xfId="0" applyBorder="1" applyFill="1" applyFont="1"/>
    <xf borderId="4" fillId="0" fontId="3" numFmtId="164" xfId="0" applyBorder="1" applyFont="1" applyNumberFormat="1"/>
    <xf borderId="0" fillId="0" fontId="5" numFmtId="0" xfId="0" applyAlignment="1" applyFont="1">
      <alignment readingOrder="0" shrinkToFit="0" wrapText="1"/>
    </xf>
    <xf borderId="0" fillId="0" fontId="3" numFmtId="0" xfId="0" applyFont="1"/>
    <xf borderId="0" fillId="0" fontId="5" numFmtId="0" xfId="0" applyAlignment="1" applyFont="1">
      <alignment readingOrder="0"/>
    </xf>
    <xf borderId="4" fillId="3" fontId="3" numFmtId="0" xfId="0" applyBorder="1" applyFill="1" applyFont="1"/>
    <xf borderId="4" fillId="0" fontId="6" numFmtId="0" xfId="0" applyAlignment="1" applyBorder="1" applyFont="1">
      <alignment horizontal="left" shrinkToFit="0" vertical="center" wrapText="1"/>
    </xf>
    <xf borderId="4" fillId="0" fontId="3" numFmtId="164" xfId="0" applyAlignment="1" applyBorder="1" applyFont="1" applyNumberFormat="1">
      <alignment horizontal="left" shrinkToFit="0" wrapText="1"/>
    </xf>
    <xf borderId="4" fillId="0" fontId="3" numFmtId="164" xfId="0" applyAlignment="1" applyBorder="1" applyFont="1" applyNumberFormat="1">
      <alignment horizontal="left"/>
    </xf>
    <xf borderId="4" fillId="0" fontId="3" numFmtId="164" xfId="0" applyAlignment="1" applyBorder="1" applyFont="1" applyNumberFormat="1">
      <alignment horizontal="left" shrinkToFit="0" vertical="center" wrapText="1"/>
    </xf>
    <xf borderId="4" fillId="0" fontId="5" numFmtId="0" xfId="0" applyBorder="1" applyFont="1"/>
    <xf borderId="4" fillId="3" fontId="3" numFmtId="0" xfId="0" applyAlignment="1" applyBorder="1" applyFont="1">
      <alignment readingOrder="0"/>
    </xf>
    <xf borderId="4" fillId="3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readingOrder="0"/>
    </xf>
    <xf borderId="4" fillId="3" fontId="7" numFmtId="0" xfId="0" applyBorder="1" applyFont="1"/>
    <xf borderId="4" fillId="0" fontId="3" numFmtId="165" xfId="0" applyBorder="1" applyFont="1" applyNumberFormat="1"/>
    <xf borderId="0" fillId="0" fontId="3" numFmtId="0" xfId="0" applyAlignment="1" applyFont="1">
      <alignment horizontal="left" shrinkToFit="0" wrapText="1"/>
    </xf>
    <xf borderId="4" fillId="3" fontId="3" numFmtId="0" xfId="0" applyAlignment="1" applyBorder="1" applyFont="1">
      <alignment horizontal="left" readingOrder="0"/>
    </xf>
    <xf borderId="4" fillId="3" fontId="9" numFmtId="0" xfId="0" applyAlignment="1" applyBorder="1" applyFont="1">
      <alignment horizontal="left" readingOrder="0"/>
    </xf>
    <xf borderId="4" fillId="0" fontId="10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/>
    </xf>
    <xf borderId="4" fillId="0" fontId="12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13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3" fontId="14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164" xfId="0" applyAlignment="1" applyBorder="1" applyFont="1" applyNumberFormat="1">
      <alignment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shrinkToFit="0" vertical="center" wrapText="1"/>
    </xf>
    <xf borderId="0" fillId="0" fontId="15" numFmtId="0" xfId="0" applyAlignment="1" applyFont="1">
      <alignment shrinkToFit="0" vertical="center" wrapText="1"/>
    </xf>
    <xf borderId="4" fillId="0" fontId="3" numFmtId="164" xfId="0" applyAlignment="1" applyBorder="1" applyFont="1" applyNumberFormat="1">
      <alignment readingOrder="0" shrinkToFit="0" vertical="center" wrapText="1"/>
    </xf>
    <xf borderId="0" fillId="0" fontId="16" numFmtId="0" xfId="0" applyAlignment="1" applyFont="1">
      <alignment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8" numFmtId="164" xfId="0" applyAlignment="1" applyBorder="1" applyFont="1" applyNumberFormat="1">
      <alignment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3" numFmtId="164" xfId="0" applyFont="1" applyNumberFormat="1"/>
    <xf borderId="4" fillId="3" fontId="5" numFmtId="0" xfId="0" applyBorder="1" applyFont="1"/>
    <xf borderId="4" fillId="0" fontId="5" numFmtId="164" xfId="0" applyBorder="1" applyFont="1" applyNumberFormat="1"/>
    <xf borderId="1" fillId="3" fontId="5" numFmtId="0" xfId="0" applyAlignment="1" applyBorder="1" applyFont="1">
      <alignment readingOrder="0"/>
    </xf>
    <xf borderId="4" fillId="3" fontId="5" numFmtId="0" xfId="0" applyAlignment="1" applyBorder="1" applyFont="1">
      <alignment readingOrder="0"/>
    </xf>
    <xf borderId="4" fillId="0" fontId="5" numFmtId="166" xfId="0" applyAlignment="1" applyBorder="1" applyFont="1" applyNumberFormat="1">
      <alignment readingOrder="0"/>
    </xf>
    <xf borderId="4" fillId="0" fontId="5" numFmtId="167" xfId="0" applyBorder="1" applyFont="1" applyNumberFormat="1"/>
    <xf borderId="4" fillId="0" fontId="5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2">
    <tableStyle count="3" pivot="0" name=" Costos de Recursos Humanos (po-style">
      <tableStyleElement dxfId="1" type="headerRow"/>
      <tableStyleElement dxfId="2" type="firstRowStripe"/>
      <tableStyleElement dxfId="3" type="secondRowStripe"/>
    </tableStyle>
    <tableStyle count="3" pivot="0" name=" Costos de Recursos Humanos (po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D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 Costos de Recursos Humanos (p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0" displayName="Table_2" name="Table_2" id="2">
  <tableColumns count="1">
    <tableColumn name="Column1" id="1"/>
  </tableColumns>
  <tableStyleInfo name=" Costos de Recursos Humanos (p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o.indeed.com/career/programador-front-end/salaries" TargetMode="External"/><Relationship Id="rId2" Type="http://schemas.openxmlformats.org/officeDocument/2006/relationships/hyperlink" Target="https://co.indeed.com/career/desarrollador-back%20end/salaries" TargetMode="External"/><Relationship Id="rId3" Type="http://schemas.openxmlformats.org/officeDocument/2006/relationships/hyperlink" Target="https://www.coderhouse.com/co/sueldos/sueldo-disenador-ux-ui-colombia-2025" TargetMode="External"/><Relationship Id="rId4" Type="http://schemas.openxmlformats.org/officeDocument/2006/relationships/hyperlink" Target="https://co.indeed.com/career/administrador-de-sistemas/salaries" TargetMode="External"/><Relationship Id="rId5" Type="http://schemas.openxmlformats.org/officeDocument/2006/relationships/hyperlink" Target="https://co.indeed.com/career/recepcionista/salaries" TargetMode="External"/><Relationship Id="rId6" Type="http://schemas.openxmlformats.org/officeDocument/2006/relationships/hyperlink" Target="https://co.indeed.com/cmp/Call-Center-Grupo-SAS/salaries/Analista-de-pruebas" TargetMode="External"/><Relationship Id="rId7" Type="http://schemas.openxmlformats.org/officeDocument/2006/relationships/hyperlink" Target="https://www.ktronix.com/search?text=computadores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33.29"/>
    <col customWidth="1" min="3" max="3" width="24.29"/>
    <col customWidth="1" min="4" max="4" width="20.71"/>
    <col customWidth="1" min="5" max="26" width="10.71"/>
  </cols>
  <sheetData>
    <row r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5" t="s">
        <v>3</v>
      </c>
      <c r="D2" s="6" t="s">
        <v>4</v>
      </c>
    </row>
    <row r="3">
      <c r="A3" s="4" t="s">
        <v>1</v>
      </c>
      <c r="B3" s="7">
        <v>1623500.0</v>
      </c>
      <c r="C3" s="8">
        <f t="shared" ref="C3:C9" si="1">B3/30</f>
        <v>54116.66667</v>
      </c>
      <c r="D3" s="8">
        <f t="shared" ref="D3:D9" si="2">B3/30/8</f>
        <v>6764.583333</v>
      </c>
    </row>
    <row r="4">
      <c r="A4" s="9" t="s">
        <v>5</v>
      </c>
      <c r="B4" s="7">
        <v>1623500.0</v>
      </c>
      <c r="C4" s="8">
        <f t="shared" si="1"/>
        <v>54116.66667</v>
      </c>
      <c r="D4" s="8">
        <f t="shared" si="2"/>
        <v>6764.583333</v>
      </c>
    </row>
    <row r="5">
      <c r="A5" s="9" t="s">
        <v>6</v>
      </c>
      <c r="B5" s="7">
        <v>1623500.0</v>
      </c>
      <c r="C5" s="8">
        <f t="shared" si="1"/>
        <v>54116.66667</v>
      </c>
      <c r="D5" s="8">
        <f t="shared" si="2"/>
        <v>6764.583333</v>
      </c>
    </row>
    <row r="6">
      <c r="A6" s="9" t="s">
        <v>7</v>
      </c>
      <c r="B6" s="7">
        <v>1623500.0</v>
      </c>
      <c r="C6" s="8">
        <f t="shared" si="1"/>
        <v>54116.66667</v>
      </c>
      <c r="D6" s="8">
        <f t="shared" si="2"/>
        <v>6764.583333</v>
      </c>
    </row>
    <row r="7">
      <c r="A7" s="9" t="s">
        <v>8</v>
      </c>
      <c r="B7" s="7">
        <v>1623500.0</v>
      </c>
      <c r="C7" s="8">
        <f t="shared" si="1"/>
        <v>54116.66667</v>
      </c>
      <c r="D7" s="8">
        <f t="shared" si="2"/>
        <v>6764.583333</v>
      </c>
    </row>
    <row r="8">
      <c r="A8" s="9" t="s">
        <v>9</v>
      </c>
      <c r="B8" s="10">
        <v>1349196.0</v>
      </c>
      <c r="C8" s="8">
        <f t="shared" si="1"/>
        <v>44973.2</v>
      </c>
      <c r="D8" s="8">
        <f t="shared" si="2"/>
        <v>5621.65</v>
      </c>
    </row>
    <row r="9">
      <c r="A9" s="9" t="s">
        <v>10</v>
      </c>
      <c r="B9" s="10">
        <v>1349196.0</v>
      </c>
      <c r="C9" s="8">
        <f t="shared" si="1"/>
        <v>44973.2</v>
      </c>
      <c r="D9" s="8">
        <f t="shared" si="2"/>
        <v>5621.65</v>
      </c>
    </row>
    <row r="10">
      <c r="A10" s="11" t="s">
        <v>11</v>
      </c>
      <c r="B10" s="8">
        <f t="shared" ref="B10:D10" si="3">B3+B4+B5+B6+B7+B8+B9</f>
        <v>10815892</v>
      </c>
      <c r="C10" s="12">
        <f t="shared" si="3"/>
        <v>360529.7333</v>
      </c>
      <c r="D10" s="12">
        <f t="shared" si="3"/>
        <v>45066.21667</v>
      </c>
    </row>
    <row r="14">
      <c r="A14" s="1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D1"/>
  </mergeCell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71"/>
    <col customWidth="1" min="2" max="2" width="14.86"/>
    <col customWidth="1" min="3" max="26" width="10.71"/>
  </cols>
  <sheetData>
    <row r="1">
      <c r="A1" s="14" t="s">
        <v>12</v>
      </c>
      <c r="B1" s="15" t="s">
        <v>13</v>
      </c>
    </row>
    <row r="2">
      <c r="A2" s="16" t="s">
        <v>14</v>
      </c>
      <c r="B2" s="16" t="s">
        <v>15</v>
      </c>
    </row>
    <row r="3">
      <c r="A3" s="17" t="s">
        <v>16</v>
      </c>
      <c r="B3" s="18">
        <v>8100.0</v>
      </c>
    </row>
    <row r="4">
      <c r="A4" s="17" t="s">
        <v>17</v>
      </c>
      <c r="B4" s="19">
        <v>15000.0</v>
      </c>
    </row>
    <row r="5">
      <c r="A5" s="17" t="s">
        <v>18</v>
      </c>
      <c r="B5" s="19">
        <v>20000.0</v>
      </c>
    </row>
    <row r="6">
      <c r="A6" s="17" t="s">
        <v>19</v>
      </c>
      <c r="B6" s="20">
        <v>100000.0</v>
      </c>
    </row>
    <row r="7">
      <c r="A7" s="17" t="s">
        <v>20</v>
      </c>
      <c r="B7" s="20">
        <v>60000.0</v>
      </c>
    </row>
    <row r="8">
      <c r="A8" s="21"/>
      <c r="B8" s="21"/>
    </row>
    <row r="9">
      <c r="A9" s="22" t="s">
        <v>21</v>
      </c>
      <c r="B9" s="19">
        <f>SUM(B2:B7)</f>
        <v>203100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7.29"/>
    <col customWidth="1" min="3" max="3" width="14.57"/>
    <col customWidth="1" min="4" max="4" width="14.29"/>
    <col customWidth="1" min="5" max="5" width="13.29"/>
    <col customWidth="1" min="6" max="26" width="10.71"/>
  </cols>
  <sheetData>
    <row r="1">
      <c r="A1" s="14" t="s">
        <v>22</v>
      </c>
    </row>
    <row r="2">
      <c r="A2" s="23" t="s">
        <v>23</v>
      </c>
      <c r="B2" s="16" t="s">
        <v>24</v>
      </c>
      <c r="C2" s="16" t="s">
        <v>15</v>
      </c>
      <c r="D2" s="16" t="s">
        <v>25</v>
      </c>
      <c r="E2" s="16" t="s">
        <v>26</v>
      </c>
    </row>
    <row r="3">
      <c r="A3" s="9" t="s">
        <v>27</v>
      </c>
      <c r="B3" s="24" t="s">
        <v>28</v>
      </c>
      <c r="C3" s="12">
        <v>319998.0</v>
      </c>
      <c r="D3" s="12">
        <f>C3/3</f>
        <v>106666</v>
      </c>
      <c r="E3" s="12">
        <f>C3/3/8</f>
        <v>13333.25</v>
      </c>
    </row>
    <row r="4">
      <c r="A4" s="9" t="s">
        <v>29</v>
      </c>
      <c r="B4" s="9" t="s">
        <v>28</v>
      </c>
      <c r="C4" s="12">
        <v>700000.0</v>
      </c>
      <c r="D4" s="12">
        <f t="shared" ref="D4:D5" si="1">C4/7</f>
        <v>100000</v>
      </c>
      <c r="E4" s="12">
        <f t="shared" ref="E4:E5" si="2">C4/7/8</f>
        <v>12500</v>
      </c>
    </row>
    <row r="5">
      <c r="A5" s="9" t="s">
        <v>30</v>
      </c>
      <c r="B5" s="9" t="s">
        <v>28</v>
      </c>
      <c r="C5" s="12">
        <v>816662.0</v>
      </c>
      <c r="D5" s="12">
        <f t="shared" si="1"/>
        <v>116666</v>
      </c>
      <c r="E5" s="12">
        <f t="shared" si="2"/>
        <v>14583.25</v>
      </c>
    </row>
    <row r="6">
      <c r="A6" s="9" t="s">
        <v>31</v>
      </c>
      <c r="B6" s="9" t="s">
        <v>32</v>
      </c>
      <c r="C6" s="12">
        <v>350000.0</v>
      </c>
      <c r="D6" s="12">
        <f>C6/3</f>
        <v>116666.6667</v>
      </c>
      <c r="E6" s="12">
        <f>C6/3/8</f>
        <v>14583.33333</v>
      </c>
    </row>
    <row r="7">
      <c r="A7" s="9" t="s">
        <v>33</v>
      </c>
      <c r="B7" s="24" t="s">
        <v>28</v>
      </c>
      <c r="C7" s="12">
        <v>233332.0</v>
      </c>
      <c r="D7" s="12">
        <f>C7/2</f>
        <v>116666</v>
      </c>
      <c r="E7" s="12">
        <f>C7/2/8</f>
        <v>14583.25</v>
      </c>
    </row>
    <row r="8">
      <c r="A8" s="21"/>
      <c r="B8" s="21"/>
      <c r="C8" s="21"/>
      <c r="D8" s="21"/>
      <c r="E8" s="21"/>
    </row>
    <row r="9">
      <c r="A9" s="22" t="s">
        <v>34</v>
      </c>
      <c r="B9" s="21"/>
      <c r="C9" s="12">
        <f t="shared" ref="C9:E9" si="3">C3+C4+C5+C6+C7</f>
        <v>2419992</v>
      </c>
      <c r="D9" s="12">
        <f t="shared" si="3"/>
        <v>556664.6667</v>
      </c>
      <c r="E9" s="12">
        <f t="shared" si="3"/>
        <v>69583.08333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86"/>
    <col customWidth="1" min="2" max="2" width="25.29"/>
    <col customWidth="1" min="3" max="3" width="13.14"/>
    <col customWidth="1" min="4" max="26" width="10.71"/>
  </cols>
  <sheetData>
    <row r="1">
      <c r="A1" s="14" t="s">
        <v>35</v>
      </c>
    </row>
    <row r="2">
      <c r="A2" s="25" t="s">
        <v>14</v>
      </c>
      <c r="B2" s="25" t="s">
        <v>36</v>
      </c>
      <c r="C2" s="25" t="s">
        <v>37</v>
      </c>
    </row>
    <row r="3">
      <c r="A3" s="9" t="s">
        <v>38</v>
      </c>
      <c r="B3" s="26">
        <v>300000.0</v>
      </c>
      <c r="C3" s="12">
        <v>1800000.0</v>
      </c>
    </row>
    <row r="4">
      <c r="A4" s="9" t="s">
        <v>39</v>
      </c>
      <c r="B4" s="26">
        <v>150000.0</v>
      </c>
      <c r="C4" s="12">
        <v>900000.0</v>
      </c>
    </row>
    <row r="5">
      <c r="A5" s="9" t="s">
        <v>40</v>
      </c>
      <c r="B5" s="26">
        <v>150000.0</v>
      </c>
      <c r="C5" s="12">
        <v>900000.0</v>
      </c>
    </row>
    <row r="6">
      <c r="A6" s="21"/>
      <c r="B6" s="21"/>
      <c r="C6" s="21"/>
    </row>
    <row r="7">
      <c r="A7" s="22" t="s">
        <v>34</v>
      </c>
      <c r="B7" s="9">
        <f t="shared" ref="B7:C7" si="1">SUM(B2:B5)</f>
        <v>600000</v>
      </c>
      <c r="C7" s="9">
        <f t="shared" si="1"/>
        <v>3600000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118.0"/>
    <col customWidth="1" min="3" max="26" width="10.71"/>
  </cols>
  <sheetData>
    <row r="1">
      <c r="A1" s="27" t="s">
        <v>41</v>
      </c>
    </row>
    <row r="2">
      <c r="A2" s="28" t="s">
        <v>42</v>
      </c>
      <c r="B2" s="29" t="s">
        <v>43</v>
      </c>
    </row>
    <row r="3">
      <c r="A3" s="9" t="s">
        <v>44</v>
      </c>
      <c r="B3" s="30" t="s">
        <v>45</v>
      </c>
    </row>
    <row r="4">
      <c r="A4" s="9" t="s">
        <v>5</v>
      </c>
      <c r="B4" s="30" t="s">
        <v>46</v>
      </c>
    </row>
    <row r="5">
      <c r="A5" s="9" t="s">
        <v>6</v>
      </c>
      <c r="B5" s="31" t="s">
        <v>47</v>
      </c>
    </row>
    <row r="6">
      <c r="A6" s="9" t="s">
        <v>7</v>
      </c>
      <c r="B6" s="32" t="s">
        <v>48</v>
      </c>
    </row>
    <row r="7">
      <c r="A7" s="33" t="s">
        <v>49</v>
      </c>
      <c r="B7" s="34" t="s">
        <v>50</v>
      </c>
    </row>
    <row r="8">
      <c r="A8" s="9" t="s">
        <v>9</v>
      </c>
      <c r="B8" s="34" t="s">
        <v>51</v>
      </c>
    </row>
    <row r="9">
      <c r="A9" s="9" t="s">
        <v>10</v>
      </c>
      <c r="B9" s="34" t="s">
        <v>52</v>
      </c>
    </row>
    <row r="10" ht="15.0" customHeight="1">
      <c r="A10" s="35" t="s">
        <v>53</v>
      </c>
      <c r="B10" s="34" t="s">
        <v>54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B1"/>
  </mergeCells>
  <hyperlinks>
    <hyperlink r:id="rId1" ref="B3"/>
    <hyperlink r:id="rId2" ref="B4"/>
    <hyperlink r:id="rId3" ref="B6"/>
    <hyperlink r:id="rId4" ref="B7"/>
    <hyperlink r:id="rId5" ref="B8"/>
    <hyperlink r:id="rId6" ref="B9"/>
    <hyperlink r:id="rId7" ref="B10"/>
  </hyperlinks>
  <printOptions/>
  <pageMargins bottom="0.75" footer="0.0" header="0.0" left="0.7" right="0.7" top="0.75"/>
  <pageSetup orientation="landscape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29.29"/>
    <col customWidth="1" min="3" max="3" width="10.71"/>
    <col customWidth="1" min="4" max="4" width="19.57"/>
    <col customWidth="1" min="5" max="8" width="10.71"/>
    <col customWidth="1" min="9" max="9" width="14.14"/>
    <col customWidth="1" min="10" max="26" width="10.71"/>
  </cols>
  <sheetData>
    <row r="1">
      <c r="A1" s="36" t="s">
        <v>55</v>
      </c>
      <c r="B1" s="23" t="s">
        <v>14</v>
      </c>
      <c r="C1" s="23" t="s">
        <v>56</v>
      </c>
      <c r="D1" s="23" t="s">
        <v>57</v>
      </c>
      <c r="E1" s="37" t="s">
        <v>58</v>
      </c>
      <c r="F1" s="23" t="s">
        <v>59</v>
      </c>
      <c r="G1" s="23" t="s">
        <v>26</v>
      </c>
      <c r="H1" s="15"/>
    </row>
    <row r="2">
      <c r="A2" s="38" t="s">
        <v>60</v>
      </c>
      <c r="B2" s="39" t="s">
        <v>44</v>
      </c>
      <c r="C2" s="40">
        <v>1.0</v>
      </c>
      <c r="D2" s="41">
        <v>1349196.0</v>
      </c>
      <c r="E2" s="42">
        <v>6.0</v>
      </c>
      <c r="F2" s="43">
        <f t="shared" ref="F2:F11" si="1">D2*E2</f>
        <v>8095176</v>
      </c>
      <c r="G2" s="12">
        <f t="shared" ref="G2:G8" si="2">F2/(30*2)/8</f>
        <v>16864.95</v>
      </c>
      <c r="I2" s="44"/>
    </row>
    <row r="3">
      <c r="A3" s="39"/>
      <c r="B3" s="39" t="s">
        <v>5</v>
      </c>
      <c r="C3" s="40">
        <v>1.0</v>
      </c>
      <c r="D3" s="45">
        <v>1349196.0</v>
      </c>
      <c r="E3" s="42">
        <v>6.0</v>
      </c>
      <c r="F3" s="43">
        <f t="shared" si="1"/>
        <v>8095176</v>
      </c>
      <c r="G3" s="12">
        <f t="shared" si="2"/>
        <v>16864.95</v>
      </c>
      <c r="I3" s="46"/>
    </row>
    <row r="4">
      <c r="A4" s="39"/>
      <c r="B4" s="47" t="s">
        <v>61</v>
      </c>
      <c r="C4" s="40">
        <v>1.0</v>
      </c>
      <c r="D4" s="41">
        <v>1349196.0</v>
      </c>
      <c r="E4" s="42">
        <v>6.0</v>
      </c>
      <c r="F4" s="43">
        <f t="shared" si="1"/>
        <v>8095176</v>
      </c>
      <c r="G4" s="12">
        <f t="shared" si="2"/>
        <v>16864.95</v>
      </c>
    </row>
    <row r="5">
      <c r="A5" s="39"/>
      <c r="B5" s="47" t="s">
        <v>62</v>
      </c>
      <c r="C5" s="40">
        <v>1.0</v>
      </c>
      <c r="D5" s="41">
        <v>1349196.0</v>
      </c>
      <c r="E5" s="42">
        <v>6.0</v>
      </c>
      <c r="F5" s="43">
        <f t="shared" si="1"/>
        <v>8095176</v>
      </c>
      <c r="G5" s="12">
        <f t="shared" si="2"/>
        <v>16864.95</v>
      </c>
    </row>
    <row r="6">
      <c r="A6" s="38" t="s">
        <v>63</v>
      </c>
      <c r="B6" s="39" t="s">
        <v>64</v>
      </c>
      <c r="C6" s="40">
        <v>1.0</v>
      </c>
      <c r="D6" s="48">
        <v>199160.0</v>
      </c>
      <c r="E6" s="42">
        <v>6.0</v>
      </c>
      <c r="F6" s="43">
        <f t="shared" si="1"/>
        <v>1194960</v>
      </c>
      <c r="G6" s="12">
        <f t="shared" si="2"/>
        <v>2489.5</v>
      </c>
    </row>
    <row r="7">
      <c r="A7" s="39"/>
      <c r="B7" s="49" t="s">
        <v>65</v>
      </c>
      <c r="C7" s="40">
        <v>1.0</v>
      </c>
      <c r="D7" s="48">
        <v>22340.0</v>
      </c>
      <c r="E7" s="42">
        <v>6.0</v>
      </c>
      <c r="F7" s="43">
        <f t="shared" si="1"/>
        <v>134040</v>
      </c>
      <c r="G7" s="12">
        <f t="shared" si="2"/>
        <v>279.25</v>
      </c>
    </row>
    <row r="8">
      <c r="A8" s="39"/>
      <c r="B8" s="39" t="s">
        <v>66</v>
      </c>
      <c r="C8" s="40">
        <v>1.0</v>
      </c>
      <c r="D8" s="48">
        <v>59250.0</v>
      </c>
      <c r="E8" s="42">
        <v>6.0</v>
      </c>
      <c r="F8" s="43">
        <f t="shared" si="1"/>
        <v>355500</v>
      </c>
      <c r="G8" s="12">
        <f t="shared" si="2"/>
        <v>740.625</v>
      </c>
    </row>
    <row r="9">
      <c r="A9" s="38" t="s">
        <v>67</v>
      </c>
      <c r="B9" s="39" t="s">
        <v>68</v>
      </c>
      <c r="C9" s="50">
        <v>4.0</v>
      </c>
      <c r="D9" s="48">
        <v>108963.0</v>
      </c>
      <c r="E9" s="42">
        <v>6.0</v>
      </c>
      <c r="F9" s="43">
        <f t="shared" si="1"/>
        <v>653778</v>
      </c>
      <c r="G9" s="12">
        <f>D9/30/8</f>
        <v>454.0125</v>
      </c>
    </row>
    <row r="10">
      <c r="A10" s="39"/>
      <c r="B10" s="39" t="s">
        <v>69</v>
      </c>
      <c r="C10" s="40">
        <v>1.0</v>
      </c>
      <c r="D10" s="48">
        <v>117592.0</v>
      </c>
      <c r="E10" s="42">
        <v>6.0</v>
      </c>
      <c r="F10" s="43">
        <f t="shared" si="1"/>
        <v>705552</v>
      </c>
      <c r="G10" s="12">
        <f t="shared" ref="G10:G11" si="3">F10/(30*2)/8</f>
        <v>1469.9</v>
      </c>
    </row>
    <row r="11">
      <c r="A11" s="39"/>
      <c r="B11" s="39" t="s">
        <v>70</v>
      </c>
      <c r="C11" s="40">
        <v>1.0</v>
      </c>
      <c r="D11" s="43">
        <v>100000.0</v>
      </c>
      <c r="E11" s="42">
        <v>6.0</v>
      </c>
      <c r="F11" s="43">
        <f t="shared" si="1"/>
        <v>600000</v>
      </c>
      <c r="G11" s="12">
        <f t="shared" si="3"/>
        <v>1250</v>
      </c>
    </row>
    <row r="12">
      <c r="A12" s="38" t="s">
        <v>71</v>
      </c>
      <c r="B12" s="39"/>
      <c r="C12" s="40"/>
      <c r="D12" s="43"/>
      <c r="E12" s="40"/>
      <c r="F12" s="43"/>
      <c r="G12" s="12"/>
    </row>
    <row r="13">
      <c r="A13" s="39"/>
      <c r="B13" s="39" t="s">
        <v>72</v>
      </c>
      <c r="C13" s="40" t="s">
        <v>73</v>
      </c>
      <c r="D13" s="43"/>
      <c r="E13" s="40" t="s">
        <v>73</v>
      </c>
      <c r="F13" s="43"/>
      <c r="G13" s="9"/>
      <c r="H13" s="51"/>
    </row>
    <row r="14">
      <c r="A14" s="39"/>
      <c r="B14" s="39" t="s">
        <v>74</v>
      </c>
      <c r="C14" s="40">
        <v>1.0</v>
      </c>
      <c r="D14" s="48">
        <v>600000.0</v>
      </c>
      <c r="E14" s="42">
        <v>6.0</v>
      </c>
      <c r="F14" s="43">
        <f t="shared" ref="F14:F15" si="4">D14*E14</f>
        <v>3600000</v>
      </c>
      <c r="G14" s="12">
        <f t="shared" ref="G14:G15" si="5">F14/(30*2)/8</f>
        <v>7500</v>
      </c>
    </row>
    <row r="15">
      <c r="A15" s="39"/>
      <c r="B15" s="39" t="s">
        <v>38</v>
      </c>
      <c r="C15" s="40">
        <v>1.0</v>
      </c>
      <c r="D15" s="48">
        <v>600000.0</v>
      </c>
      <c r="E15" s="42">
        <v>6.0</v>
      </c>
      <c r="F15" s="43">
        <f t="shared" si="4"/>
        <v>3600000</v>
      </c>
      <c r="G15" s="12">
        <f t="shared" si="5"/>
        <v>7500</v>
      </c>
    </row>
    <row r="16">
      <c r="A16" s="21"/>
      <c r="B16" s="21"/>
      <c r="C16" s="21"/>
      <c r="D16" s="21"/>
      <c r="E16" s="39"/>
      <c r="F16" s="21"/>
      <c r="G16" s="12"/>
    </row>
    <row r="17" ht="15.0" customHeight="1">
      <c r="A17" s="21"/>
      <c r="B17" s="21"/>
      <c r="C17" s="21"/>
      <c r="D17" s="12"/>
      <c r="E17" s="21"/>
      <c r="F17" s="21"/>
      <c r="G17" s="21"/>
    </row>
    <row r="18">
      <c r="A18" s="16" t="s">
        <v>75</v>
      </c>
      <c r="B18" s="52"/>
      <c r="C18" s="21"/>
      <c r="D18" s="53">
        <f>SUM(D2:D15)</f>
        <v>7204089</v>
      </c>
      <c r="E18" s="21"/>
      <c r="F18" s="12">
        <f t="shared" ref="F18:G18" si="6">SUM(F2:F15)</f>
        <v>43224534</v>
      </c>
      <c r="G18" s="12">
        <f t="shared" si="6"/>
        <v>89143.0875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14"/>
  </cols>
  <sheetData>
    <row r="1">
      <c r="A1" s="54" t="s">
        <v>76</v>
      </c>
      <c r="B1" s="2"/>
      <c r="C1" s="2"/>
      <c r="D1" s="3"/>
    </row>
    <row r="2">
      <c r="A2" s="55" t="s">
        <v>77</v>
      </c>
      <c r="B2" s="55" t="s">
        <v>78</v>
      </c>
      <c r="C2" s="55" t="s">
        <v>79</v>
      </c>
      <c r="D2" s="55" t="s">
        <v>80</v>
      </c>
    </row>
    <row r="3">
      <c r="A3" s="56">
        <v>4.322453E7</v>
      </c>
      <c r="B3" s="35">
        <v>36.0</v>
      </c>
      <c r="C3" s="57">
        <f> A3/B3</f>
        <v>1200681.389</v>
      </c>
      <c r="D3" s="58">
        <f>A3/B3*12</f>
        <v>14408176.67</v>
      </c>
    </row>
  </sheetData>
  <mergeCells count="1">
    <mergeCell ref="A1:D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2025-07-03T19:11:29Z</dcterms:created>
</cp:coreProperties>
</file>